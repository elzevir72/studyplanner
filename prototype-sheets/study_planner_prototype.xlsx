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Entri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B6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2E1C8"/>
        </patternFill>
      </fill>
    </dxf>
    <dxf>
      <fill>
        <patternFill patternType="solid">
          <fgColor rgb="00DCEA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이름</t>
        </is>
      </c>
      <c r="B1" s="1" t="inlineStr">
        <is>
          <t>활성</t>
        </is>
      </c>
    </row>
    <row r="2">
      <c r="A2" t="inlineStr">
        <is>
          <t>참가자1</t>
        </is>
      </c>
      <c r="B2" t="b">
        <v>1</v>
      </c>
    </row>
    <row r="3">
      <c r="A3" t="inlineStr">
        <is>
          <t>참가자2</t>
        </is>
      </c>
      <c r="B3" t="b">
        <v>1</v>
      </c>
    </row>
    <row r="4">
      <c r="A4" t="inlineStr">
        <is>
          <t>참가자3</t>
        </is>
      </c>
      <c r="B4" t="b">
        <v>1</v>
      </c>
    </row>
    <row r="5">
      <c r="A5" t="inlineStr">
        <is>
          <t>참가자4</t>
        </is>
      </c>
      <c r="B5" t="b">
        <v>1</v>
      </c>
    </row>
    <row r="6">
      <c r="A6" t="inlineStr">
        <is>
          <t>참가자5</t>
        </is>
      </c>
      <c r="B6" t="b">
        <v>1</v>
      </c>
    </row>
    <row r="7">
      <c r="A7" t="inlineStr">
        <is>
          <t>참가자6</t>
        </is>
      </c>
      <c r="B7" t="b">
        <v>1</v>
      </c>
    </row>
    <row r="8">
      <c r="A8" t="inlineStr">
        <is>
          <t>참가자7</t>
        </is>
      </c>
      <c r="B8" t="b">
        <v>1</v>
      </c>
    </row>
    <row r="9">
      <c r="A9" t="inlineStr">
        <is>
          <t>참가자8</t>
        </is>
      </c>
      <c r="B9" t="b">
        <v>1</v>
      </c>
    </row>
    <row r="10">
      <c r="A10" t="inlineStr">
        <is>
          <t>참가자9</t>
        </is>
      </c>
      <c r="B10" t="b">
        <v>1</v>
      </c>
    </row>
    <row r="11">
      <c r="A11" t="inlineStr">
        <is>
          <t>참가자10</t>
        </is>
      </c>
      <c r="B11" t="b">
        <v>1</v>
      </c>
    </row>
  </sheetData>
  <dataValidations count="1">
    <dataValidation sqref="B2:B1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타임스탬프</t>
        </is>
      </c>
      <c r="B1" s="1" t="inlineStr">
        <is>
          <t>이름</t>
        </is>
      </c>
      <c r="C1" s="1" t="inlineStr">
        <is>
          <t>학습일자</t>
        </is>
      </c>
      <c r="D1" s="1" t="inlineStr">
        <is>
          <t>학습수단</t>
        </is>
      </c>
      <c r="E1" s="1" t="inlineStr">
        <is>
          <t>학습내용</t>
        </is>
      </c>
      <c r="F1" s="1" t="inlineStr">
        <is>
          <t>학습량_숫자</t>
        </is>
      </c>
      <c r="G1" s="1" t="inlineStr">
        <is>
          <t>학습량_단위</t>
        </is>
      </c>
      <c r="H1" s="1" t="inlineStr">
        <is>
          <t>목표달성</t>
        </is>
      </c>
      <c r="I1" s="1" t="inlineStr">
        <is>
          <t>메모</t>
        </is>
      </c>
    </row>
  </sheetData>
  <dataValidations count="1">
    <dataValidation sqref="H2:H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4" customWidth="1" min="4" max="4"/>
  </cols>
  <sheetData>
    <row r="1">
      <c r="A1" s="2" t="inlineStr">
        <is>
          <t>Study Planner — 그룹 대시보드</t>
        </is>
      </c>
    </row>
    <row r="3">
      <c r="A3" s="3" t="inlineStr">
        <is>
          <t>기준일</t>
        </is>
      </c>
      <c r="B3">
        <f>TODAY()</f>
        <v/>
      </c>
    </row>
    <row r="4">
      <c r="A4" s="3" t="inlineStr">
        <is>
          <t>주간 시작(월)</t>
        </is>
      </c>
      <c r="B4">
        <f>B3-WEEKDAY(B3,3)</f>
        <v/>
      </c>
    </row>
    <row r="5">
      <c r="A5" s="3" t="inlineStr">
        <is>
          <t>주간 종료(일)</t>
        </is>
      </c>
      <c r="B5">
        <f>B4+6</f>
        <v/>
      </c>
    </row>
    <row r="7">
      <c r="A7" s="3" t="inlineStr">
        <is>
          <t>이번 주 현황</t>
        </is>
      </c>
    </row>
    <row r="8">
      <c r="A8" s="1" t="inlineStr">
        <is>
          <t>이름</t>
        </is>
      </c>
      <c r="B8" s="1" t="inlineStr">
        <is>
          <t>이번 주 기록 수</t>
        </is>
      </c>
      <c r="C8" s="1" t="inlineStr">
        <is>
          <t>목표 달성 수</t>
        </is>
      </c>
      <c r="D8" s="1" t="inlineStr">
        <is>
          <t>상태</t>
        </is>
      </c>
    </row>
    <row r="9">
      <c r="A9">
        <f>Config!A2</f>
        <v/>
      </c>
      <c r="B9">
        <f>COUNTIFS(Entries!$B:$B,$A9,Entries!$C:$C,"&gt;="&amp;$B$4,Entries!$C:$C,"&lt;="&amp;$B$5)</f>
        <v/>
      </c>
      <c r="C9">
        <f>COUNTIFS(Entries!$B:$B,$A9,Entries!$C:$C,"&gt;="&amp;$B$4,Entries!$C:$C,"&lt;="&amp;$B$5,Entries!$H:$H,TRUE)</f>
        <v/>
      </c>
      <c r="D9">
        <f>IF($A9="","",IF(B9=0,"⚪ 미기록","✅ 기록함"))</f>
        <v/>
      </c>
    </row>
    <row r="10">
      <c r="A10">
        <f>Config!A3</f>
        <v/>
      </c>
      <c r="B10">
        <f>COUNTIFS(Entries!$B:$B,$A10,Entries!$C:$C,"&gt;="&amp;$B$4,Entries!$C:$C,"&lt;="&amp;$B$5)</f>
        <v/>
      </c>
      <c r="C10">
        <f>COUNTIFS(Entries!$B:$B,$A10,Entries!$C:$C,"&gt;="&amp;$B$4,Entries!$C:$C,"&lt;="&amp;$B$5,Entries!$H:$H,TRUE)</f>
        <v/>
      </c>
      <c r="D10">
        <f>IF($A10="","",IF(B10=0,"⚪ 미기록","✅ 기록함"))</f>
        <v/>
      </c>
    </row>
    <row r="11">
      <c r="A11">
        <f>Config!A4</f>
        <v/>
      </c>
      <c r="B11">
        <f>COUNTIFS(Entries!$B:$B,$A11,Entries!$C:$C,"&gt;="&amp;$B$4,Entries!$C:$C,"&lt;="&amp;$B$5)</f>
        <v/>
      </c>
      <c r="C11">
        <f>COUNTIFS(Entries!$B:$B,$A11,Entries!$C:$C,"&gt;="&amp;$B$4,Entries!$C:$C,"&lt;="&amp;$B$5,Entries!$H:$H,TRUE)</f>
        <v/>
      </c>
      <c r="D11">
        <f>IF($A11="","",IF(B11=0,"⚪ 미기록","✅ 기록함"))</f>
        <v/>
      </c>
    </row>
    <row r="12">
      <c r="A12">
        <f>Config!A5</f>
        <v/>
      </c>
      <c r="B12">
        <f>COUNTIFS(Entries!$B:$B,$A12,Entries!$C:$C,"&gt;="&amp;$B$4,Entries!$C:$C,"&lt;="&amp;$B$5)</f>
        <v/>
      </c>
      <c r="C12">
        <f>COUNTIFS(Entries!$B:$B,$A12,Entries!$C:$C,"&gt;="&amp;$B$4,Entries!$C:$C,"&lt;="&amp;$B$5,Entries!$H:$H,TRUE)</f>
        <v/>
      </c>
      <c r="D12">
        <f>IF($A12="","",IF(B12=0,"⚪ 미기록","✅ 기록함"))</f>
        <v/>
      </c>
    </row>
    <row r="13">
      <c r="A13">
        <f>Config!A6</f>
        <v/>
      </c>
      <c r="B13">
        <f>COUNTIFS(Entries!$B:$B,$A13,Entries!$C:$C,"&gt;="&amp;$B$4,Entries!$C:$C,"&lt;="&amp;$B$5)</f>
        <v/>
      </c>
      <c r="C13">
        <f>COUNTIFS(Entries!$B:$B,$A13,Entries!$C:$C,"&gt;="&amp;$B$4,Entries!$C:$C,"&lt;="&amp;$B$5,Entries!$H:$H,TRUE)</f>
        <v/>
      </c>
      <c r="D13">
        <f>IF($A13="","",IF(B13=0,"⚪ 미기록","✅ 기록함"))</f>
        <v/>
      </c>
    </row>
    <row r="14">
      <c r="A14">
        <f>Config!A7</f>
        <v/>
      </c>
      <c r="B14">
        <f>COUNTIFS(Entries!$B:$B,$A14,Entries!$C:$C,"&gt;="&amp;$B$4,Entries!$C:$C,"&lt;="&amp;$B$5)</f>
        <v/>
      </c>
      <c r="C14">
        <f>COUNTIFS(Entries!$B:$B,$A14,Entries!$C:$C,"&gt;="&amp;$B$4,Entries!$C:$C,"&lt;="&amp;$B$5,Entries!$H:$H,TRUE)</f>
        <v/>
      </c>
      <c r="D14">
        <f>IF($A14="","",IF(B14=0,"⚪ 미기록","✅ 기록함"))</f>
        <v/>
      </c>
    </row>
    <row r="15">
      <c r="A15">
        <f>Config!A8</f>
        <v/>
      </c>
      <c r="B15">
        <f>COUNTIFS(Entries!$B:$B,$A15,Entries!$C:$C,"&gt;="&amp;$B$4,Entries!$C:$C,"&lt;="&amp;$B$5)</f>
        <v/>
      </c>
      <c r="C15">
        <f>COUNTIFS(Entries!$B:$B,$A15,Entries!$C:$C,"&gt;="&amp;$B$4,Entries!$C:$C,"&lt;="&amp;$B$5,Entries!$H:$H,TRUE)</f>
        <v/>
      </c>
      <c r="D15">
        <f>IF($A15="","",IF(B15=0,"⚪ 미기록","✅ 기록함"))</f>
        <v/>
      </c>
    </row>
    <row r="16">
      <c r="A16">
        <f>Config!A9</f>
        <v/>
      </c>
      <c r="B16">
        <f>COUNTIFS(Entries!$B:$B,$A16,Entries!$C:$C,"&gt;="&amp;$B$4,Entries!$C:$C,"&lt;="&amp;$B$5)</f>
        <v/>
      </c>
      <c r="C16">
        <f>COUNTIFS(Entries!$B:$B,$A16,Entries!$C:$C,"&gt;="&amp;$B$4,Entries!$C:$C,"&lt;="&amp;$B$5,Entries!$H:$H,TRUE)</f>
        <v/>
      </c>
      <c r="D16">
        <f>IF($A16="","",IF(B16=0,"⚪ 미기록","✅ 기록함"))</f>
        <v/>
      </c>
    </row>
    <row r="17">
      <c r="A17">
        <f>Config!A10</f>
        <v/>
      </c>
      <c r="B17">
        <f>COUNTIFS(Entries!$B:$B,$A17,Entries!$C:$C,"&gt;="&amp;$B$4,Entries!$C:$C,"&lt;="&amp;$B$5)</f>
        <v/>
      </c>
      <c r="C17">
        <f>COUNTIFS(Entries!$B:$B,$A17,Entries!$C:$C,"&gt;="&amp;$B$4,Entries!$C:$C,"&lt;="&amp;$B$5,Entries!$H:$H,TRUE)</f>
        <v/>
      </c>
      <c r="D17">
        <f>IF($A17="","",IF(B17=0,"⚪ 미기록","✅ 기록함"))</f>
        <v/>
      </c>
    </row>
    <row r="18">
      <c r="A18">
        <f>Config!A11</f>
        <v/>
      </c>
      <c r="B18">
        <f>COUNTIFS(Entries!$B:$B,$A18,Entries!$C:$C,"&gt;="&amp;$B$4,Entries!$C:$C,"&lt;="&amp;$B$5)</f>
        <v/>
      </c>
      <c r="C18">
        <f>COUNTIFS(Entries!$B:$B,$A18,Entries!$C:$C,"&gt;="&amp;$B$4,Entries!$C:$C,"&lt;="&amp;$B$5,Entries!$H:$H,TRUE)</f>
        <v/>
      </c>
      <c r="D18">
        <f>IF($A18="","",IF(B18=0,"⚪ 미기록","✅ 기록함"))</f>
        <v/>
      </c>
    </row>
    <row r="20">
      <c r="A20" s="3" t="inlineStr">
        <is>
          <t>이번 주 미기록자</t>
        </is>
      </c>
      <c r="B20">
        <f>TEXTJOIN(", ",TRUE,ARRAYFORMULA(IF(($A$9:$A$18&lt;&gt;"")*($B$9:$B$18=0),$A$9:$A$18,"")))</f>
        <v/>
      </c>
    </row>
    <row r="23">
      <c r="A23" s="3" t="inlineStr">
        <is>
          <t>이번 달 현황</t>
        </is>
      </c>
    </row>
    <row r="24">
      <c r="A24" s="3" t="inlineStr">
        <is>
          <t>이번 달 시작</t>
        </is>
      </c>
      <c r="B24">
        <f>DATE(YEAR($B$3),MONTH($B$3),1)</f>
        <v/>
      </c>
    </row>
    <row r="25">
      <c r="A25" s="3" t="inlineStr">
        <is>
          <t>이번 달 종료</t>
        </is>
      </c>
      <c r="B25">
        <f>EOMONTH($B$3,0)</f>
        <v/>
      </c>
    </row>
    <row r="27">
      <c r="A27" s="1" t="inlineStr">
        <is>
          <t>이름</t>
        </is>
      </c>
      <c r="B27" s="1" t="inlineStr">
        <is>
          <t>이번 달 기록 수</t>
        </is>
      </c>
      <c r="C27" s="1" t="inlineStr">
        <is>
          <t>목표 달성 수</t>
        </is>
      </c>
    </row>
    <row r="28">
      <c r="A28">
        <f>Config!A2</f>
        <v/>
      </c>
      <c r="B28">
        <f>COUNTIFS(Entries!$B:$B,$A28,Entries!$C:$C,"&gt;="&amp;$B$24,Entries!$C:$C,"&lt;="&amp;$B$25)</f>
        <v/>
      </c>
      <c r="C28">
        <f>COUNTIFS(Entries!$B:$B,$A28,Entries!$C:$C,"&gt;="&amp;$B$24,Entries!$C:$C,"&lt;="&amp;$B$25,Entries!$H:$H,TRUE)</f>
        <v/>
      </c>
    </row>
    <row r="29">
      <c r="A29">
        <f>Config!A3</f>
        <v/>
      </c>
      <c r="B29">
        <f>COUNTIFS(Entries!$B:$B,$A29,Entries!$C:$C,"&gt;="&amp;$B$24,Entries!$C:$C,"&lt;="&amp;$B$25)</f>
        <v/>
      </c>
      <c r="C29">
        <f>COUNTIFS(Entries!$B:$B,$A29,Entries!$C:$C,"&gt;="&amp;$B$24,Entries!$C:$C,"&lt;="&amp;$B$25,Entries!$H:$H,TRUE)</f>
        <v/>
      </c>
    </row>
    <row r="30">
      <c r="A30">
        <f>Config!A4</f>
        <v/>
      </c>
      <c r="B30">
        <f>COUNTIFS(Entries!$B:$B,$A30,Entries!$C:$C,"&gt;="&amp;$B$24,Entries!$C:$C,"&lt;="&amp;$B$25)</f>
        <v/>
      </c>
      <c r="C30">
        <f>COUNTIFS(Entries!$B:$B,$A30,Entries!$C:$C,"&gt;="&amp;$B$24,Entries!$C:$C,"&lt;="&amp;$B$25,Entries!$H:$H,TRUE)</f>
        <v/>
      </c>
    </row>
    <row r="31">
      <c r="A31">
        <f>Config!A5</f>
        <v/>
      </c>
      <c r="B31">
        <f>COUNTIFS(Entries!$B:$B,$A31,Entries!$C:$C,"&gt;="&amp;$B$24,Entries!$C:$C,"&lt;="&amp;$B$25)</f>
        <v/>
      </c>
      <c r="C31">
        <f>COUNTIFS(Entries!$B:$B,$A31,Entries!$C:$C,"&gt;="&amp;$B$24,Entries!$C:$C,"&lt;="&amp;$B$25,Entries!$H:$H,TRUE)</f>
        <v/>
      </c>
    </row>
    <row r="32">
      <c r="A32">
        <f>Config!A6</f>
        <v/>
      </c>
      <c r="B32">
        <f>COUNTIFS(Entries!$B:$B,$A32,Entries!$C:$C,"&gt;="&amp;$B$24,Entries!$C:$C,"&lt;="&amp;$B$25)</f>
        <v/>
      </c>
      <c r="C32">
        <f>COUNTIFS(Entries!$B:$B,$A32,Entries!$C:$C,"&gt;="&amp;$B$24,Entries!$C:$C,"&lt;="&amp;$B$25,Entries!$H:$H,TRUE)</f>
        <v/>
      </c>
    </row>
    <row r="33">
      <c r="A33">
        <f>Config!A7</f>
        <v/>
      </c>
      <c r="B33">
        <f>COUNTIFS(Entries!$B:$B,$A33,Entries!$C:$C,"&gt;="&amp;$B$24,Entries!$C:$C,"&lt;="&amp;$B$25)</f>
        <v/>
      </c>
      <c r="C33">
        <f>COUNTIFS(Entries!$B:$B,$A33,Entries!$C:$C,"&gt;="&amp;$B$24,Entries!$C:$C,"&lt;="&amp;$B$25,Entries!$H:$H,TRUE)</f>
        <v/>
      </c>
    </row>
    <row r="34">
      <c r="A34">
        <f>Config!A8</f>
        <v/>
      </c>
      <c r="B34">
        <f>COUNTIFS(Entries!$B:$B,$A34,Entries!$C:$C,"&gt;="&amp;$B$24,Entries!$C:$C,"&lt;="&amp;$B$25)</f>
        <v/>
      </c>
      <c r="C34">
        <f>COUNTIFS(Entries!$B:$B,$A34,Entries!$C:$C,"&gt;="&amp;$B$24,Entries!$C:$C,"&lt;="&amp;$B$25,Entries!$H:$H,TRUE)</f>
        <v/>
      </c>
    </row>
    <row r="35">
      <c r="A35">
        <f>Config!A9</f>
        <v/>
      </c>
      <c r="B35">
        <f>COUNTIFS(Entries!$B:$B,$A35,Entries!$C:$C,"&gt;="&amp;$B$24,Entries!$C:$C,"&lt;="&amp;$B$25)</f>
        <v/>
      </c>
      <c r="C35">
        <f>COUNTIFS(Entries!$B:$B,$A35,Entries!$C:$C,"&gt;="&amp;$B$24,Entries!$C:$C,"&lt;="&amp;$B$25,Entries!$H:$H,TRUE)</f>
        <v/>
      </c>
    </row>
    <row r="36">
      <c r="A36">
        <f>Config!A10</f>
        <v/>
      </c>
      <c r="B36">
        <f>COUNTIFS(Entries!$B:$B,$A36,Entries!$C:$C,"&gt;="&amp;$B$24,Entries!$C:$C,"&lt;="&amp;$B$25)</f>
        <v/>
      </c>
      <c r="C36">
        <f>COUNTIFS(Entries!$B:$B,$A36,Entries!$C:$C,"&gt;="&amp;$B$24,Entries!$C:$C,"&lt;="&amp;$B$25,Entries!$H:$H,TRUE)</f>
        <v/>
      </c>
    </row>
    <row r="37">
      <c r="A37">
        <f>Config!A11</f>
        <v/>
      </c>
      <c r="B37">
        <f>COUNTIFS(Entries!$B:$B,$A37,Entries!$C:$C,"&gt;="&amp;$B$24,Entries!$C:$C,"&lt;="&amp;$B$25)</f>
        <v/>
      </c>
      <c r="C37">
        <f>COUNTIFS(Entries!$B:$B,$A37,Entries!$C:$C,"&gt;="&amp;$B$24,Entries!$C:$C,"&lt;="&amp;$B$25,Entries!$H:$H,TRUE)</f>
        <v/>
      </c>
    </row>
    <row r="40">
      <c r="A40" s="3" t="inlineStr">
        <is>
          <t>최근 공유 메모</t>
        </is>
      </c>
    </row>
    <row r="41">
      <c r="A41">
        <f>QUERY(Entries!A:I,"select C,B,I where I != '' order by C desc limit 15",1)</f>
        <v/>
      </c>
    </row>
  </sheetData>
  <mergeCells count="1">
    <mergeCell ref="A1:D1"/>
  </mergeCells>
  <conditionalFormatting sqref="D9:D18">
    <cfRule type="expression" priority="1" dxfId="0">
      <formula>ISNUMBER(SEARCH("미기록",D9))</formula>
    </cfRule>
    <cfRule type="expression" priority="2" dxfId="1">
      <formula>ISNUMBER(SEARCH("기록함",D9))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2026-07-20T03:33:05Z</dcterms:created>
  <dcterms:modified xmlns:dcterms="http://purl.org/dc/terms/" xmlns:xsi="http://www.w3.org/2001/XMLSchema-instance" xsi:type="dcterms:W3CDTF">2026-07-20T03:33:05Z</dcterms:modified>
</cp:coreProperties>
</file>